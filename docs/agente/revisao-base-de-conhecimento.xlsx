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1"/>
  </bookViews>
  <sheets>
    <sheet name="Como preencher" sheetId="1" r:id="rId1"/>
    <sheet name="Perguntas e respostas" sheetId="2" r:id="rId2"/>
    <sheet name="Sem resposta" sheetId="3" r:id="rId3"/>
    <sheet name="Pontos a confirmar" sheetId="4" r:id="rId4"/>
    <sheet name="Perguntas novas" sheetId="5" r:id="rId5"/>
  </sheets>
  <definedNames>
    <definedName name="_xlnm._FilterDatabase" localSheetId="1" hidden="1">'Perguntas e respostas'!$A$1:$J$67</definedName>
  </definedNames>
  <calcPr calcId="124519"/>
</workbook>
</file>

<file path=xl/calcChain.xml><?xml version="1.0" encoding="utf-8"?>
<calcChain xmlns="http://schemas.openxmlformats.org/spreadsheetml/2006/main">
  <c r="A23" i="1"/>
  <c r="A22"/>
  <c r="A21"/>
</calcChain>
</file>

<file path=xl/sharedStrings.xml><?xml version="1.0" encoding="utf-8"?>
<sst xmlns="http://schemas.openxmlformats.org/spreadsheetml/2006/main" count="391" uniqueCount="206">
  <si>
    <t>Revisão da base de conhecimento do agente — grupos CDT</t>
  </si>
  <si>
    <t>Montada a partir de 3.603 mensagens dos 33 grupos CDT (20/07 a 25/09/2026), com as respostas que você, o Victor e o André deram às franquias. Sem nomes, telefones, logins ou senhas: o que muda por unidade aparece entre chaves, ex.: {link do dashboard}.</t>
  </si>
  <si>
    <t>O que fazer</t>
  </si>
  <si>
    <t>1. Aba "Perguntas e respostas": para cada linha, preencha as colunas amarelas.</t>
  </si>
  <si>
    <t xml:space="preserve">    • "Resposta está correta?": Sim, Ajustar ou Não vale mais.</t>
  </si>
  <si>
    <t xml:space="preserve">    • "Resposta corrigida": só se escolheu Ajustar. Escreva do jeito que você responderia no grupo.</t>
  </si>
  <si>
    <t xml:space="preserve">    • "O agente pode responder?": Sim, Em parte (responde o geral e passa pra você) ou Não (sempre passa pra você).</t>
  </si>
  <si>
    <t>2. Aba "Sem resposta": perguntas que você ou o Victor responderam por áudio, ou que ficaram sem retorno. Escreva a resposta.</t>
  </si>
  <si>
    <t>3. Aba "Pontos a confirmar": decisões que ficaram contraditórias no histórico.</t>
  </si>
  <si>
    <t>4. Aba "Perguntas novas": perguntas frequentes que não apareceram aqui. Adicione quantas quiser.</t>
  </si>
  <si>
    <t>Cores</t>
  </si>
  <si>
    <t>Cabeçalho escuro: o que veio do histórico, não precisa mexer. Cabeçalho marrom e células amarelas: para você preencher. Linha cinza em itálico: exemplo de preenchimento.</t>
  </si>
  <si>
    <t>Regras que já valem para o agente (não precisa repetir)</t>
  </si>
  <si>
    <t>Nunca responde: cobrança e valores da 7Bee (mensalidade, repasse, fechamento), contrato, cancelamento, reclamação e problema técnico. Nesses casos passa pra você e não escreve nada no grupo.</t>
  </si>
  <si>
    <t>Fica em silêncio se você, o Victor ou o André já responderam. Funciona 24h. Se a franquia perceber que é robô, ele para naquele grupo e te avisa.</t>
  </si>
  <si>
    <t>Andamento da revisão</t>
  </si>
  <si>
    <t>Nº</t>
  </si>
  <si>
    <t>Tema</t>
  </si>
  <si>
    <t>Frequência do tema (aprox.)</t>
  </si>
  <si>
    <t>Pergunta da franquia</t>
  </si>
  <si>
    <t>Resposta que a equipe deu (histórico)</t>
  </si>
  <si>
    <t>Sugestão para o agente</t>
  </si>
  <si>
    <t>Resposta está correta?</t>
  </si>
  <si>
    <t>Resposta corrigida (se Ajustar)</t>
  </si>
  <si>
    <t>O agente pode responder?</t>
  </si>
  <si>
    <t>Observações</t>
  </si>
  <si>
    <t>Ex.</t>
  </si>
  <si>
    <t>Números de WhatsApp da IA</t>
  </si>
  <si>
    <t>Quais números providenciar</t>
  </si>
  <si>
    <t>São 2 números exclusivos para a IA…</t>
  </si>
  <si>
    <t>Responde sozinho</t>
  </si>
  <si>
    <t>Ajustar</t>
  </si>
  <si>
    <t>São 2 números exclusivos para a IA: um para cobrança e relacionamento e outro para o Agente de Vendas. Pode ser de qualquer operadora.</t>
  </si>
  <si>
    <t>Sim</t>
  </si>
  <si>
    <t>Exemplo de preenchimento, pode apagar</t>
  </si>
  <si>
    <t>Rotina diária das planilhas (Power BI)</t>
  </si>
  <si>
    <t>Quais planilhas subir, onde e em que horário</t>
  </si>
  <si>
    <t>São 2 relatórios do Power BI em XLSX, cada um na sua pasta do Drive:
1. Inadimplência (para a cobrança): todos os dias, até 8:30, na {pasta de inadimplência}.
2. Filiados ativos (para o relacionamento): 1 vez por semana, de preferência na segunda-feira, também até 8:30, na {pasta de filiados ativos}.
Como subir:
• Sem tratamento, sem filtro e sem ajuste. É só extrair no formato padrão do BI: as réguas e os filtros a gente faz do nosso lado.
• Não mande a planilha no grupo: ela precisa ir para o Drive.
• Não crie subpastas.
• Atenção para não inverter as pastas. Se inverter, o sistema pode tratar cliente em dia como devedor.</t>
  </si>
  <si>
    <t>Por que até 8:30</t>
  </si>
  <si>
    <t>O primeiro disparo do dia sai por volta das 8:50 e é o de melhor resultado. O disparo seguinte sai às 11:30. Começar por volta das 9h rende bem mais do que começar depois das 10h.</t>
  </si>
  <si>
    <t>O BI não atualizou. Subo a lista antiga ou espero?</t>
  </si>
  <si>
    <t>• Não suba a lista antiga: essa a gente já tem.
• Espere o BI atualizar e suba assim que possível. Avise aqui no grupo quando o BI atrasar.
• O sistema espera uma lista nova até as 10h. Depois disso, trabalha com a lista do dia anterior, tirando quem já pagou pela IA.</t>
  </si>
  <si>
    <t>Dá para ter um prazo maior que 8:30?</t>
  </si>
  <si>
    <t>A gente trabalha com esse padrão em todas as unidades. A tolerância até as 10h existe justamente para os atrasos do BI, mas cada minuto depois das 8:30 pesa no resultado do dia.</t>
  </si>
  <si>
    <t>Dias sem expediente, domingos e feriados</t>
  </si>
  <si>
    <t>• Nos dias de disparo sem lista nova, a IA usa a do dia anterior, tirando quem já pagou.
• Aos domingos não há disparos.
• Aos sábados, subir a lista não é obrigatório, mas com a lista atualizada o resultado é melhor.
• Nos feriados, a estratégia é reduzida.
• Avise os feriados municipais com antecedência.</t>
  </si>
  <si>
    <t>Podemos tirar clientes ou colunas para dividir a cobrança com a equipe?</t>
  </si>
  <si>
    <t>Mantenha a lista completa, no formato do BI. Remover colunas ou clientes quebra a sincronização. Para dividir o trabalho:
• suba a lista completa;
• a equipe trabalha da régua 2 em diante;
• a gente configura a IA para cobrar só NR e R1.</t>
  </si>
  <si>
    <t>Subi e não sincronizou</t>
  </si>
  <si>
    <t>Confira se o relatório certo está na pasta certa e em XLSX. Se estiver, avise aqui que a gente força a sincronização. Neste caso, o agente escala.</t>
  </si>
  <si>
    <t>Responde em parte e escala</t>
  </si>
  <si>
    <t>Números de WhatsApp da IA e código de verificação</t>
  </si>
  <si>
    <t>São 2 números exclusivos para a IA:
• um para cobrança e relacionamento, que rodam juntos no mesmo número;
• um para o Agente de Vendas.
Pode ser chip de qualquer operadora, número fixo ou número virtual, desde que receba SMS ou ligação.</t>
  </si>
  <si>
    <t>O número pode continuar com WhatsApp?</t>
  </si>
  <si>
    <t>Não. O número é registrado direto na API Oficial da Meta e **não pode ter conta de WhatsApp** (nem no app normal, nem no Business). Desinstalar ou deslogar não basta: é preciso excluir a conta do WhatsApp daquele número. Depois de excluir, espere uns 5 minutos antes de tentarmos o cadastro. Depois do cadastro, o número não precisa mais ficar num aparelho.</t>
  </si>
  <si>
    <t>Como é o cadastro</t>
  </si>
  <si>
    <t>A gente combina um horário com a unidade. Nesse horário, alguém precisa estar com o chip em mãos. Enviamos um código por SMS (ou por ligação) e vocês nos passam o código aqui no grupo. Ele expira rápido.</t>
  </si>
  <si>
    <t>O código não chegou</t>
  </si>
  <si>
    <t>• Confira se o número está certo.
• Chip novo precisa estar ativado, com recarga.
• Se a Meta acusar limite de envios, ela trava por um tempo: tentamos de novo mais tarde ou no dia seguinte.
• Se for linha virtual e o código não aparecer, acione o suporte do provedor.
• Reenviar o código é com a equipe, então o agente escala.</t>
  </si>
  <si>
    <t>Trocar um número já cadastrado</t>
  </si>
  <si>
    <t>A equipe retira o número antigo e cadastra o novo com um código. Para isso, é preciso alguém com o chip novo em mãos. O agente escala.</t>
  </si>
  <si>
    <t>OpenAI: conta, cartão e custo</t>
  </si>
  <si>
    <t>Para que serve e como é criada</t>
  </si>
  <si>
    <t>É a conta da plataforma de API da OpenAI, que paga os "pensamentos" da IA. A assinatura do ChatGPT não serve: é outra conta.
Como criar:
• A gente cria a conta, de preferência no e-mail da unidade. Pode ser outro e-mail de vocês, desde que ainda não tenha conta na OpenAI.
• Chega um código da OpenAI nesse e-mail e vocês nos passam aqui.
• Avisem quando puderem receber o código, porque ele expira rápido. Confiram também o spam.</t>
  </si>
  <si>
    <t>Como cadastrar o cartão</t>
  </si>
  <si>
    <t>1. Entre com o e-mail da conta.
2. Acesse {link de billing da OpenAI} e clique em "adicionar detalhes de pagamento".
3. Recomendamos comprar US$ 15 de início e configurar **recarga de US$ 10 quando o saldo ficar abaixo de US$ 5**.
4. Confira no canto inferior esquerdo se está logado na conta certa.
5. Avise quando terminar.
O cartão precisa aceitar transações internacionais.</t>
  </si>
  <si>
    <t>Quanto custa por mês</t>
  </si>
  <si>
    <t>Depende do uso. Em média, fica entre US$ 15 e US$ 50 por mês, proporcional ao volume de conversas: se a IA está conversando mais, está trazendo mais resultado. Esse saldo não paga os disparos de WhatsApp, que são cobrados pela Meta.</t>
  </si>
  <si>
    <t>Qual a diferença entre o cartão da OpenAI e o da Meta</t>
  </si>
  <si>
    <t>Meta: cartão dos disparos, BM e limites</t>
  </si>
  <si>
    <t>Como cadastrar o cartão na Meta</t>
  </si>
  <si>
    <t>É a última etapa da parte de vocês antes de começar.
1. Abra {link da central de cobrança da Meta} num navegador em que o BM já esteja logado. O link cai direto na tela de cadastro.
2. Pode ser feito pelo Facebook de qualquer pessoa com acesso ao BM.
3. Tente colocar a moeda em real. Às vezes não dá e fica em dólar.
4. Se der erro (por exemplo, cartão já usado em outro BM), cadastre como forma de pagamento da empresa, em "Adicionar forma de pagamento da empresa". Depois a gente vincula.
5. Quando der certo, a Meta faz uma cobrança inicial de cerca de US$ 10.
6. Avise quando terminar, que a gente confere.
O cartão precisa aceitar transações internacionais.</t>
  </si>
  <si>
    <t>A Meta cobra todo dia? Quanto vai custar?</t>
  </si>
  <si>
    <t>No começo, a Meta cobra diariamente. Com o tempo ela ganha confiança e espaça as cobranças. O valor é proporcional ao volume de disparos: quanto mais gente a gente contata, mais a gente recupera. Na fatura aparece como FACEBOOK ou META. Todas as cobranças ficam na área de atividade de pagamentos do BM.</t>
  </si>
  <si>
    <t>Apareceu cobrança do Facebook no cartão</t>
  </si>
  <si>
    <t>É dos disparos de WhatsApp, cobrados pela Meta. Não é da IA nem da 7Bee.</t>
  </si>
  <si>
    <t>O pagamento na Meta foi recusado</t>
  </si>
  <si>
    <t>Sem cartão válido, os disparos param.
• Confira o limite do cartão.
• Se precisar, cadastre outro cartão como forma de pagamento da empresa.
Consultar o valor gasto é com a equipe, então o agente escala.</t>
  </si>
  <si>
    <t>O que é o BM e o que precisamos fazer</t>
  </si>
  <si>
    <t>O BM (portfólio de negócios da Meta) é onde ficam as contas de WhatsApp que disparam as mensagens.
• Se vocês já têm BM: é só nos dar acesso. O BM precisa estar verificado e sem restrições.
• Se nunca tiveram: a gente cria, usando o Facebook pessoal de alguém da unidade (o BM não fica vinculado a esse perfil) e damos entrada na verificação do CNPJ.</t>
  </si>
  <si>
    <t>O convite do BM não chegou</t>
  </si>
  <si>
    <t>Normalmente o convite precisa ser aprovado por outro admin do mesmo BM. Confira também o spam e a aba Social do e-mail. Se o convite expirar, é preciso reenviar.</t>
  </si>
  <si>
    <t>Por que só ~250 disparos por dia?</t>
  </si>
  <si>
    <t>Enquanto o BM está em verificação, a Meta limita a 250 mensagens por dia. Depois da aprovação, o limite sobe para cerca de 2 mil. Nos primeiros dias também é normal a Meta deixar o número "em alerta": nesse período a gente reduz a cobrança e aumenta o relacionamento, liberando as réguas aos poucos. A situação exata do BM de cada unidade é com a equipe, então o agente escala.</t>
  </si>
  <si>
    <t>Apareceu outra empresa como parceira no BM</t>
  </si>
  <si>
    <t>É a conta que conecta os nossos apps aos números de vocês, como um cabo de conexão, e não afeta nada. Se aparecer outra empresa que vocês não reconhecem, avisem.</t>
  </si>
  <si>
    <t>O código de login do Facebook não chega</t>
  </si>
  <si>
    <t>Ele aparece como notificação no aparelho em que a conta está conectada: abra o app do Facebook e vá em Notificações. Também dá para receber por e-mail.</t>
  </si>
  <si>
    <t>Onboarding: contrato, documentos, etapas e início</t>
  </si>
  <si>
    <t>Quais são as etapas</t>
  </si>
  <si>
    <t>1. Documentação. Preencha os dados no {link de onboarding}. O contrato chega por e-mail: assine pelo gov.br e suba junto com os documentos.
2. Parametrização:
• conta na OpenAI com cartão;
• acesso ao BM;
• cadastro dos números;
• cartão na Meta;
• acesso ao CTN.
3. Início: sobe a primeira lista e os disparos começam.
O tempo de implantação depende diretamente da velocidade com que as etapas de vocês são concluídas.</t>
  </si>
  <si>
    <t>Onde envio os documentos? Quais?</t>
  </si>
  <si>
    <t>Envie somente pelo {link de envio de documentos}: nunca no grupo, nem por e-mail.
• Documentos: cartão CNPJ, contrato social, alvará e o contrato assinado.
• Documentos pessoais só do sócio que vai fazer a verificação facial.
• Várias pessoas podem subir arquivos pelo mesmo link.
• O próprio link mostra o que ainda falta.
• Não recebeu o e-mail do contrato? Olhe o spam. A gente também pode reenviar.</t>
  </si>
  <si>
    <t>Falta alguma coisa? Quando começa?</t>
  </si>
  <si>
    <t>Resposta geral: quando tudo estiver concluído, a gente começa em até 48 horas. Muitas vezes começa no dia seguinte, e no mesmo dia se a lista subir cedo.
A etapa que falta é diferente em cada unidade. O agente responde a parte geral e escala.
Integração com o CRM: com o CRM, o agente consegue consultar em que etapa da esteira a unidade está e responder de forma exata.</t>
  </si>
  <si>
    <t>Quando começa o período de teste de 60 dias?</t>
  </si>
  <si>
    <t>No primeiro dia em que os disparos começarem. A foto do grupo é trocada para marcar esse início.</t>
  </si>
  <si>
    <t>Podemos fazer uma reunião?</t>
  </si>
  <si>
    <t>Sim. A gente recomenda que a reunião seja no dia do início, ou depois dele, para já ter dados reais. O horário é combinado com a equipe, então o agente escala.</t>
  </si>
  <si>
    <t>Gateway de pagamento (AbacatePay)</t>
  </si>
  <si>
    <t>Quem faz a verificação facial (KYC)?</t>
  </si>
  <si>
    <t>Basta um sócio, quem conseguir fazer mais rápido, pelo {link de verificação}.
• Pode ser um procurador, desde que envie o documento e uma procuração que dê direito de abrir contas.
• Se no final o botão "avançar" não habilitar, é assim mesmo: a gente repassa para o gateway.
• Se o gov.br bloquear a abertura de contas no seu nome, desative essa configuração no gov.br.
• Às vezes o gateway pede um segundo sócio. Quando pedir, a gente avisa.</t>
  </si>
  <si>
    <t>Para que serve a conta no gateway?</t>
  </si>
  <si>
    <t>• É uma conta de recebimento complementar. O pagamento principal é pelo link de conciliação do CTN, que já cai conciliado.
• Os valores que entram pelo gateway (baixados no CTN como "DIRETO NO CARTÃO - CEF") ficam nessa conta.
• Para retirar esses valores, é preciso fazer saques periodicamente.</t>
  </si>
  <si>
    <t>Não consigo sacar / o código não chega no e-mail</t>
  </si>
  <si>
    <t>O código de saque vem de um aplicativo autenticador, não do e-mail. Se ainda não cadastraram o autenticador, é preciso cadastrar. Se outra pessoa já cadastrou, peçam o código a ela.</t>
  </si>
  <si>
    <t>Entrei e não aparece valor</t>
  </si>
  <si>
    <t>Provavelmente a conta está no modo teste: clique em "Ir para produção". Se der erro, recarregue com Ctrl+Shift+R ou use uma janela anônima.</t>
  </si>
  <si>
    <t>CTN, baixas e formas de pagamento</t>
  </si>
  <si>
    <t>Para que serve o acesso ao CTN (Gerente do Cartão)?</t>
  </si>
  <si>
    <t>Como o cliente paga?</t>
  </si>
  <si>
    <t>• Pelo link de conciliação da franqueadora, com cartão ou PIX. O pagamento cai conciliado no CTN.
• Pagamentos que entram por fora do link recebem baixa automática em poucos minutos.
• A IA sempre incentiva o pagamento no cartão com autorização das cobranças futuras. Ela não consegue obrigar o cliente a autorizar.
• Dá para tirar o PIX do link, mas pela nossa experiência o resultado cai bastante.</t>
  </si>
  <si>
    <t>Qual forma de pagamento a IA usa na baixa manual?</t>
  </si>
  <si>
    <t>"DIRETO NO CARTÃO - CEF". Isso só acontece quando o link de conciliação falha e o cliente paga pelo caminho antigo, e o dinheiro fica no gateway. A unidade pode escolher outra forma de lançamento: é só avisar.</t>
  </si>
  <si>
    <t>A IA cobra só o que está em 3C?</t>
  </si>
  <si>
    <t>Sim. Ela cobra o que está na lista de inadimplentes do BI. Cobra todas as parcelas que o CTN libera; parcelas que ainda estão no motor de recorrência entram depois, automaticamente.</t>
  </si>
  <si>
    <t>Cliente em dia recebendo cobrança / pagou e não teve baixa</t>
  </si>
  <si>
    <t>A IA segue a lista do BI. Coisas para conferir:
• se o cliente estava na lista do dia;
• se há dependente em aberto no cadastro;
• se a lista subiu atrasada;
• se a mensagem é mesmo da IA (o número dela tem foto própria).
O agente pede a matrícula e escala.</t>
  </si>
  <si>
    <t>Excluir um cliente da cobrança</t>
  </si>
  <si>
    <t>O agente pede a matrícula e escala. A exclusão é feita pela equipe.</t>
  </si>
  <si>
    <t>Reembolso, estorno, pagamento duplicado</t>
  </si>
  <si>
    <t>O agente escala (problema técnico). Referência: o reembolso pelo painel só devolve o valor ao cliente, e a baixa no CTN é retirada pela unidade.</t>
  </si>
  <si>
    <t>Dashboard e Chat CDT</t>
  </si>
  <si>
    <t>Como recebemos os acessos?</t>
  </si>
  <si>
    <t>• Dashboard (pagamentos, clientes em cobrança e desempenho do dia; indicado para gestão e financeiro): mande o e-mail de quem vai acompanhar.
• Chat CDT (conversas em tempo real; é onde a equipe assume quando a IA passa o atendimento): mande o **nome e o e-mail de cada pessoa que vai atender**. É um login por pessoa, para o histórico ficar organizado.
A gente cria e envia os logins com uma senha temporária. O sistema pede para trocar no primeiro acesso. A senha criada no Dashboard vale também para o Chat. O mesmo login dá acesso à área de Vendas do Chat.
O agente nunca envia login nem senha. Ele pede os e-mails e escala para a equipe criar os acessos.</t>
  </si>
  <si>
    <t>Trocar ou desativar o acesso de alguém que saiu</t>
  </si>
  <si>
    <t>O agente pede o e-mail a desativar, o e-mail novo e se o acesso é para o Dashboard, o Chat ou os dois. Depois escala.</t>
  </si>
  <si>
    <t>Quem aparece para a equipe atender no Chat?</t>
  </si>
  <si>
    <t>Aparecem os casos que a IA passa para a equipe:
• cliente que pede para falar com uma pessoa;
• cliente que xingou;
• cliente que quer cancelar;
• cliente que a IA não conseguiu contatar depois de algumas tentativas;
• pergunta que a IA não resolve;
• cliente que enviou comprovante.
Quem combinou uma data de pagamento só aparece quando a data chega.</t>
  </si>
  <si>
    <t>Só consigo atender 5 clientes por vez?</t>
  </si>
  <si>
    <t>Não há limite. Esse número é a quantidade de clientes que a IA repassou; os outros ela resolveu sozinha.</t>
  </si>
  <si>
    <t>Notificações do Chat não aparecem</t>
  </si>
  <si>
    <t>Libere o pop-up de notificação do navegador. Se não aparecer, recarregue com Ctrl+Shift+R.</t>
  </si>
  <si>
    <t>Preciso clicar em "assumir"?</t>
  </si>
  <si>
    <t>Não. Responder a conversa já assume o atendimento.</t>
  </si>
  <si>
    <t>A janela de 24h fechou. Como continuo a conversa?</t>
  </si>
  <si>
    <t>Use um dos templates pré-aprovados, no botão do meio do chat. O cliente precisa responder ao template para a conversa continuar. Se não fizer sentido continuar, encerre a conversa como não resolvida.</t>
  </si>
  <si>
    <t>O que é o valor de baixo no Dashboard?</t>
  </si>
  <si>
    <t>É a projeção de recebimento do mês. No primeiro mês ela fica baixa, porque considera o começo do mês zerado. Com meses completos, ela fica precisa.</t>
  </si>
  <si>
    <t>O que significa "Concluiu (declarado)"?</t>
  </si>
  <si>
    <t>O cliente disse que já pagou ou mandou comprovante. O status muda quando a IA confirma o pagamento no CTN.</t>
  </si>
  <si>
    <t>Página estranha / não consigo entrar</t>
  </si>
  <si>
    <t>Recarregue a página e tente a senha do Dashboard. Se continuar, mande um print: o agente escala (problema técnico).</t>
  </si>
  <si>
    <t>Como a IA de cobrança e relacionamento funciona</t>
  </si>
  <si>
    <t>Quantas mensagens a IA manda por dia?</t>
  </si>
  <si>
    <t>Até 4, conforme a régua e a estratégia. Quando o cliente responde, os disparos param e a IA passa a conversar com ele. Se o cliente tem uma experiência negativa (xingou, por exemplo), a IA se bloqueia e não contata mais esse cliente.</t>
  </si>
  <si>
    <t>O que é cada régua?</t>
  </si>
  <si>
    <t>Segue o padrão do BI: régua 1 é 1 mensalidade em aberto, régua 2 são 2 mensalidades, e assim por diante. Cada régua tem uma abordagem própria. A gente libera as réguas aos poucos para proteger o BM.</t>
  </si>
  <si>
    <t>A IA faz ligação?</t>
  </si>
  <si>
    <t>Não. Ela atua só pelo WhatsApp.</t>
  </si>
  <si>
    <t>A IA dá desconto ou faz promoção?</t>
  </si>
  <si>
    <t>Por princípio não: a régua é feita para recuperar o valor integral. De vez em quando oferecemos campanhas pontuais com adesão opcional, como a Desenrola (seção 11).</t>
  </si>
  <si>
    <t>O que a IA envia no relacionamento?</t>
  </si>
  <si>
    <t>Benefícios do Cartão de TODOS e comunicações da unidade, variando entre os clientes. Depois dos 60 dias, a unidade pode mandar campanhas locais.</t>
  </si>
  <si>
    <t>A IA pode divulgar um benefício ou parceria da unidade?</t>
  </si>
  <si>
    <t>Mande o material completo e a gente inclui no conhecimento da IA: ela passa a explicar o benefício quando o cliente perguntar. O envio ativo desse tipo de mensagem costuma ser classificado pela Meta como Marketing, que é mais caro; a gente pode testar com uma amostra.</t>
  </si>
  <si>
    <t>Podemos ajustar o que a IA fala?</t>
  </si>
  <si>
    <t>Sim. Mande aqui um print do que soou diferente do que vocês praticam (preço, regra, jeito de falar) e a gente ajusta. Quanto mais material da unidade vocês mandarem (especialidades, regras, o que fazer quando não tem uma especialidade), mais completa a IA fica.</t>
  </si>
  <si>
    <t>Dá para reduzir a quantidade de mensagens?</t>
  </si>
  <si>
    <t>A gente pode testar, mas a tendência é o resultado cair. Pedido de mudança de estratégia vai para a equipe, então o agente escala.</t>
  </si>
  <si>
    <t>O resultado está baixo / tivemos problema hoje?</t>
  </si>
  <si>
    <t>O agente escala (reclamação ou problema técnico). Referência para a equipe: as causas comuns são atraso do BI, limite de disparos da Meta e instabilidade do servidor.</t>
  </si>
  <si>
    <t>Agente de Vendas</t>
  </si>
  <si>
    <t>O que é preciso para ligar</t>
  </si>
  <si>
    <t>1. Link de filiação da IA: no CTN, cadastre um promotor de vendas só para a IA, com o nome AGENTE IA VENDAS, e mande o link de filiação dele. Se o CPF der conflito, use o CPF de alguém que não seja cliente do Cartão de TODOS.
2. Regras da unidade:
• valor da consulta com clínico geral e com especialista;
• multa por cancelar antes de 12 meses;
• regras de dependentes (idade dos pais, limite, custo da carteirinha);
• se tem odontologia com desconto.
3. Quem vai testar: nome e e-mail.
A gente liga em 1 a 2 dias.</t>
  </si>
  <si>
    <t>Como testar</t>
  </si>
  <si>
    <t>1. Salve o contato do agente.
2. Duas ou mais pessoas conversam com ele como se fossem clientes vindos do anúncio. Mande #zerar para recomeçar do zero.
3. O que soar diferente do que vocês praticam, mande print aqui no grupo.
4. As conversas ficam na área de Vendas do Chat CDT, com o login de sempre.
5. Com o ok de vocês, os anúncios são ligados.</t>
  </si>
  <si>
    <t>Como ele vende</t>
  </si>
  <si>
    <t>• Vende só pelo link de filiação dele, com cartão de crédito ou débito.
• Tudo que foge da regra ele passa para a equipe.
• Tem follow-up quando o cliente para de responder.
• Atende inclusive depois das 18h.
• Por enquanto não faz contato ativo.</t>
  </si>
  <si>
    <t>Vocês fazem o tráfego pago?</t>
  </si>
  <si>
    <t>Não. O gestor de tráfego da unidade duplica as campanhas que já usa e direciona para o número da IA. A gente recomenda dividir a verba 50/50 entre equipe e IA, com anúncios e públicos iguais (um teste A/B). A verba é da unidade e o valor fica a critério de vocês. Para seguir, a gente precisa falar com quem cuida do tráfego.</t>
  </si>
  <si>
    <t>Campanha Desenrola 7Bee</t>
  </si>
  <si>
    <t>Como funciona</t>
  </si>
  <si>
    <t>É uma ação pontual de 3 dias, no fim do mês, para recuperar a inadimplência mais antiga:
• as réguas mais antigas quitam por um valor menor;
• NR e as réguas 1 e 2 seguem sem desconto.
O pagamento é pelo link do CTN, e a baixa quita todas as mensalidades em aberto. A adesão é opcional: sem o aceite da unidade, nada muda. Para aderir, respondam no grupo ACEITO A CAMPANHA DESENROLA dentro do prazo do comunicado.
O agente não cita valores de quitação nem datas: remete ao comunicado da edição. Pedido para mudar valores ou condições é ⚠️ e vai para a equipe.</t>
  </si>
  <si>
    <t>Pergunta que apareceu nos grupos</t>
  </si>
  <si>
    <t>Sua resposta</t>
  </si>
  <si>
    <t>Qual CPF deve ser cadastrado no acesso ao CTN?</t>
  </si>
  <si>
    <t>O CPF do operador da 7Bee, que eu passo no grupo.</t>
  </si>
  <si>
    <t>Não</t>
  </si>
  <si>
    <t>A própria unidade consegue enviar um template para reabrir a conversa depois de 24h? Onde fica isso no Chat?</t>
  </si>
  <si>
    <t>O tom do chat está pessoal demais em algumas mensagens. Dá para mudar?</t>
  </si>
  <si>
    <t>A IA pode informar que a unidade tem especialidades em outros locais?</t>
  </si>
  <si>
    <t>Clientes que combinaram uma data de pagamento continuam recebendo disparos ou vão para o time?</t>
  </si>
  <si>
    <t>Os pagamentos recebidos pela IA caem em qual instituição? Quem da unidade pode fazer os saques? Dá para usar o mesmo e-mail em outra unidade?</t>
  </si>
  <si>
    <t>Sócios que saíram do quadro societário: o documento enviado considerou isso?</t>
  </si>
  <si>
    <t>Leads do Agente de Vendas chegam, mas não fecham. O que fazer?</t>
  </si>
  <si>
    <t>Como funciona, no dia a dia, o Agente de Vendas junto com o tráfego pago?</t>
  </si>
  <si>
    <t>Dá para trocar o link de filiação usado pelo Agente de Vendas?</t>
  </si>
  <si>
    <t>A unidade não quer dar acesso ao Power BI. Qual é a alternativa?</t>
  </si>
  <si>
    <t>Ponto</t>
  </si>
  <si>
    <t>Sua decisão</t>
  </si>
  <si>
    <t>Limite de disparos: 250 por dia com o BM em análise e cerca de 2 mil depois. Ainda vale?</t>
  </si>
  <si>
    <t>Vale, mas hoje o limite depois de aprovado é outro: ...</t>
  </si>
  <si>
    <t>Números de terceiros. O histórico cita a Salvy (cerca de R$ 29,90 por mês, por número) como opção de número virtual. Os valores de OpenAI e Meta também aparecem (US$ 15, US$ 10, US$ 15 a 50 por mês). Nenhum desses é valor da 7Bee. O agente pode citá-los?</t>
  </si>
  <si>
    <t>Gateway obrigatório? No começo do histórico, a aprovação da AbacatePay era pré-requisito para começar. Com o acesso ao CTN, ela passou a ser complementar. Confirmar a regra atual.</t>
  </si>
  <si>
    <t>Limite de disparos. 250 por dia com o BM em análise e cerca de 2 mil depois. Ainda vale?</t>
  </si>
  <si>
    <t>Sábados. Uma resposta diz que a lista de sábado não é obrigatória e outra que há cobrança no dia. Confirmar.</t>
  </si>
  <si>
    <t>Feriados. "Estratégia reduzida, em teste". Já existe uma regra definida?</t>
  </si>
  <si>
    <t>Resposta</t>
  </si>
  <si>
    <t>Chat CDT</t>
  </si>
  <si>
    <t>Consigo usar o Chat CDT pelo celular?</t>
  </si>
  <si>
    <t>Consegue sim, pelo navegador do celular, com o mesmo login.</t>
  </si>
  <si>
    <t>sim</t>
  </si>
  <si>
    <t>enviar para o Guilherme responder</t>
  </si>
  <si>
    <t>• OpenAI, pré-pago: paga os tokens da IA.
• Meta, pós-pago: paga as mensagens de disparo.
São duas cobranças separadas, direto no cartão da unidade.</t>
  </si>
  <si>
    <t>É por esse acesso que a IA gera, na hora, o link de conciliação de cada cliente e dá as baixas automáticas.
Como criar: um usuário Operador de Adimplência com o perfil **SECRETARIA**. Selecione o perfil e clique em Gravar. O CPF a usar é informado pela equipe.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</si>
</sst>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i/>
      <sz val="10"/>
      <color rgb="FF6B728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7A5A00"/>
      </patternFill>
    </fill>
    <fill>
      <patternFill patternType="solid">
        <fgColor rgb="FFF3F4F6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strike/>
        <color rgb="FF9CA3AF"/>
        <name val="Arial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>
      <selection activeCell="A5" sqref="A5"/>
    </sheetView>
  </sheetViews>
  <sheetFormatPr defaultRowHeight="15"/>
  <cols>
    <col min="1" max="1" width="110" customWidth="1"/>
  </cols>
  <sheetData>
    <row r="1" spans="1:1" ht="18">
      <c r="A1" s="1" t="s">
        <v>0</v>
      </c>
    </row>
    <row r="2" spans="1:1" ht="38.25">
      <c r="A2" s="2" t="s">
        <v>1</v>
      </c>
    </row>
    <row r="3" spans="1:1">
      <c r="A3" s="2"/>
    </row>
    <row r="4" spans="1:1">
      <c r="A4" s="3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 ht="25.5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/>
    </row>
    <row r="13" spans="1:1">
      <c r="A13" s="3" t="s">
        <v>10</v>
      </c>
    </row>
    <row r="14" spans="1:1" ht="25.5">
      <c r="A14" s="2" t="s">
        <v>11</v>
      </c>
    </row>
    <row r="15" spans="1:1">
      <c r="A15" s="2"/>
    </row>
    <row r="16" spans="1:1">
      <c r="A16" s="3" t="s">
        <v>12</v>
      </c>
    </row>
    <row r="17" spans="1:1" ht="25.5">
      <c r="A17" s="2" t="s">
        <v>13</v>
      </c>
    </row>
    <row r="18" spans="1:1" ht="25.5">
      <c r="A18" s="2" t="s">
        <v>14</v>
      </c>
    </row>
    <row r="19" spans="1:1">
      <c r="A19" s="2"/>
    </row>
    <row r="20" spans="1:1">
      <c r="A20" s="3" t="s">
        <v>15</v>
      </c>
    </row>
    <row r="21" spans="1:1">
      <c r="A21" s="4" t="str">
        <f>"Perguntas revisadas: "&amp;COUNTA('Perguntas e respostas'!G3:G67)&amp;" de 65"</f>
        <v>Perguntas revisadas: 58 de 65</v>
      </c>
    </row>
    <row r="22" spans="1:1">
      <c r="A22" s="4" t="str">
        <f>"Sem resposta preenchidas: "&amp;COUNTA('Sem resposta'!C3:C13)&amp;" de 11"</f>
        <v>Sem resposta preenchidas: 0 de 11</v>
      </c>
    </row>
    <row r="23" spans="1:1">
      <c r="A23" s="4" t="str">
        <f>"Pontos decididos: "&amp;COUNTA('Pontos a confirmar'!C3:C7)&amp;" de 5"</f>
        <v>Pontos decididos: 0 de 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7"/>
  <sheetViews>
    <sheetView tabSelected="1" topLeftCell="F1" workbookViewId="0">
      <pane ySplit="1" topLeftCell="A2" activePane="bottomLeft" state="frozen"/>
      <selection pane="bottomLeft" activeCell="I4" sqref="I4"/>
    </sheetView>
  </sheetViews>
  <sheetFormatPr defaultRowHeight="15"/>
  <cols>
    <col min="1" max="1" width="5" customWidth="1"/>
    <col min="2" max="2" width="22" customWidth="1"/>
    <col min="3" max="3" width="11" customWidth="1"/>
    <col min="4" max="4" width="34" customWidth="1"/>
    <col min="5" max="5" width="70" customWidth="1"/>
    <col min="6" max="6" width="17" customWidth="1"/>
    <col min="7" max="7" width="14" customWidth="1"/>
    <col min="8" max="8" width="50" customWidth="1"/>
    <col min="9" max="9" width="14" customWidth="1"/>
    <col min="10" max="10" width="30" customWidth="1"/>
  </cols>
  <sheetData>
    <row r="1" spans="1:10" ht="33.950000000000003" customHeight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6" t="s">
        <v>22</v>
      </c>
      <c r="H1" s="6" t="s">
        <v>23</v>
      </c>
      <c r="I1" s="6" t="s">
        <v>24</v>
      </c>
      <c r="J1" s="6" t="s">
        <v>25</v>
      </c>
    </row>
    <row r="2" spans="1:10" ht="38.25">
      <c r="A2" s="7" t="s">
        <v>26</v>
      </c>
      <c r="B2" s="7" t="s">
        <v>27</v>
      </c>
      <c r="C2" s="7">
        <v>32</v>
      </c>
      <c r="D2" s="7" t="s">
        <v>28</v>
      </c>
      <c r="E2" s="7" t="s">
        <v>29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</row>
    <row r="3" spans="1:10" ht="191.25">
      <c r="A3" s="8">
        <v>1</v>
      </c>
      <c r="B3" s="8" t="s">
        <v>35</v>
      </c>
      <c r="C3" s="8">
        <v>47</v>
      </c>
      <c r="D3" s="8" t="s">
        <v>36</v>
      </c>
      <c r="E3" s="8" t="s">
        <v>37</v>
      </c>
      <c r="F3" s="8" t="s">
        <v>30</v>
      </c>
      <c r="G3" s="9" t="s">
        <v>202</v>
      </c>
      <c r="H3" s="9"/>
      <c r="I3" s="9"/>
      <c r="J3" s="9"/>
    </row>
    <row r="4" spans="1:10" ht="38.25">
      <c r="A4" s="8">
        <v>2</v>
      </c>
      <c r="B4" s="8" t="s">
        <v>35</v>
      </c>
      <c r="C4" s="8">
        <v>47</v>
      </c>
      <c r="D4" s="8" t="s">
        <v>38</v>
      </c>
      <c r="E4" s="8" t="s">
        <v>39</v>
      </c>
      <c r="F4" s="8" t="s">
        <v>30</v>
      </c>
      <c r="G4" s="9" t="s">
        <v>202</v>
      </c>
      <c r="H4" s="9"/>
      <c r="I4" s="9"/>
      <c r="J4" s="9"/>
    </row>
    <row r="5" spans="1:10" ht="63.75">
      <c r="A5" s="8">
        <v>3</v>
      </c>
      <c r="B5" s="8" t="s">
        <v>35</v>
      </c>
      <c r="C5" s="8">
        <v>47</v>
      </c>
      <c r="D5" s="8" t="s">
        <v>40</v>
      </c>
      <c r="E5" s="8" t="s">
        <v>41</v>
      </c>
      <c r="F5" s="8" t="s">
        <v>30</v>
      </c>
      <c r="G5" s="9" t="s">
        <v>202</v>
      </c>
      <c r="H5" s="9"/>
      <c r="I5" s="9"/>
      <c r="J5" s="9"/>
    </row>
    <row r="6" spans="1:10" ht="38.25">
      <c r="A6" s="8">
        <v>4</v>
      </c>
      <c r="B6" s="8" t="s">
        <v>35</v>
      </c>
      <c r="C6" s="8">
        <v>47</v>
      </c>
      <c r="D6" s="8" t="s">
        <v>42</v>
      </c>
      <c r="E6" s="8" t="s">
        <v>43</v>
      </c>
      <c r="F6" s="8" t="s">
        <v>30</v>
      </c>
      <c r="G6" s="9" t="s">
        <v>202</v>
      </c>
      <c r="H6" s="9"/>
      <c r="I6" s="9"/>
      <c r="J6" s="9"/>
    </row>
    <row r="7" spans="1:10" ht="89.25">
      <c r="A7" s="8">
        <v>5</v>
      </c>
      <c r="B7" s="8" t="s">
        <v>35</v>
      </c>
      <c r="C7" s="8">
        <v>47</v>
      </c>
      <c r="D7" s="8" t="s">
        <v>44</v>
      </c>
      <c r="E7" s="8" t="s">
        <v>45</v>
      </c>
      <c r="F7" s="8" t="s">
        <v>30</v>
      </c>
      <c r="G7" s="9" t="s">
        <v>202</v>
      </c>
      <c r="H7" s="9"/>
      <c r="I7" s="9"/>
      <c r="J7" s="9"/>
    </row>
    <row r="8" spans="1:10" ht="76.5">
      <c r="A8" s="8">
        <v>6</v>
      </c>
      <c r="B8" s="8" t="s">
        <v>35</v>
      </c>
      <c r="C8" s="8">
        <v>47</v>
      </c>
      <c r="D8" s="8" t="s">
        <v>46</v>
      </c>
      <c r="E8" s="8" t="s">
        <v>47</v>
      </c>
      <c r="F8" s="8" t="s">
        <v>30</v>
      </c>
      <c r="G8" s="9" t="s">
        <v>202</v>
      </c>
      <c r="H8" s="9"/>
      <c r="I8" s="9"/>
      <c r="J8" s="9"/>
    </row>
    <row r="9" spans="1:10" ht="38.25">
      <c r="A9" s="8">
        <v>7</v>
      </c>
      <c r="B9" s="8" t="s">
        <v>35</v>
      </c>
      <c r="C9" s="8">
        <v>47</v>
      </c>
      <c r="D9" s="8" t="s">
        <v>48</v>
      </c>
      <c r="E9" s="8" t="s">
        <v>49</v>
      </c>
      <c r="F9" s="8" t="s">
        <v>203</v>
      </c>
      <c r="G9" s="9" t="s">
        <v>202</v>
      </c>
      <c r="H9" s="9"/>
      <c r="I9" s="9"/>
      <c r="J9" s="9"/>
    </row>
    <row r="10" spans="1:10" ht="89.25">
      <c r="A10" s="8">
        <v>8</v>
      </c>
      <c r="B10" s="8" t="s">
        <v>51</v>
      </c>
      <c r="C10" s="8">
        <v>32</v>
      </c>
      <c r="D10" s="8" t="s">
        <v>28</v>
      </c>
      <c r="E10" s="8" t="s">
        <v>52</v>
      </c>
      <c r="F10" s="8" t="s">
        <v>30</v>
      </c>
      <c r="G10" s="9" t="s">
        <v>202</v>
      </c>
      <c r="H10" s="9"/>
      <c r="I10" s="9"/>
      <c r="J10" s="9"/>
    </row>
    <row r="11" spans="1:10" ht="63.75">
      <c r="A11" s="8">
        <v>9</v>
      </c>
      <c r="B11" s="8" t="s">
        <v>51</v>
      </c>
      <c r="C11" s="8">
        <v>32</v>
      </c>
      <c r="D11" s="8" t="s">
        <v>53</v>
      </c>
      <c r="E11" s="8" t="s">
        <v>54</v>
      </c>
      <c r="F11" s="8" t="s">
        <v>30</v>
      </c>
      <c r="G11" s="9" t="s">
        <v>202</v>
      </c>
      <c r="H11" s="9"/>
      <c r="I11" s="9"/>
      <c r="J11" s="9"/>
    </row>
    <row r="12" spans="1:10" ht="38.25">
      <c r="A12" s="8">
        <v>10</v>
      </c>
      <c r="B12" s="8" t="s">
        <v>51</v>
      </c>
      <c r="C12" s="8">
        <v>32</v>
      </c>
      <c r="D12" s="8" t="s">
        <v>55</v>
      </c>
      <c r="E12" s="8" t="s">
        <v>56</v>
      </c>
      <c r="F12" s="8" t="s">
        <v>30</v>
      </c>
      <c r="G12" s="9" t="s">
        <v>202</v>
      </c>
      <c r="H12" s="9"/>
      <c r="I12" s="9"/>
      <c r="J12" s="9"/>
    </row>
    <row r="13" spans="1:10" ht="76.5">
      <c r="A13" s="8">
        <v>11</v>
      </c>
      <c r="B13" s="8" t="s">
        <v>51</v>
      </c>
      <c r="C13" s="8">
        <v>32</v>
      </c>
      <c r="D13" s="8" t="s">
        <v>57</v>
      </c>
      <c r="E13" s="8" t="s">
        <v>58</v>
      </c>
      <c r="F13" s="8" t="s">
        <v>203</v>
      </c>
      <c r="G13" s="9" t="s">
        <v>202</v>
      </c>
      <c r="H13" s="9"/>
      <c r="I13" s="9"/>
      <c r="J13" s="9"/>
    </row>
    <row r="14" spans="1:10" ht="38.25">
      <c r="A14" s="8">
        <v>12</v>
      </c>
      <c r="B14" s="8" t="s">
        <v>51</v>
      </c>
      <c r="C14" s="8">
        <v>32</v>
      </c>
      <c r="D14" s="8" t="s">
        <v>59</v>
      </c>
      <c r="E14" s="8" t="s">
        <v>60</v>
      </c>
      <c r="F14" s="8" t="s">
        <v>203</v>
      </c>
      <c r="G14" s="9" t="s">
        <v>202</v>
      </c>
      <c r="H14" s="9"/>
      <c r="I14" s="9"/>
      <c r="J14" s="9"/>
    </row>
    <row r="15" spans="1:10" ht="127.5">
      <c r="A15" s="8">
        <v>13</v>
      </c>
      <c r="B15" s="8" t="s">
        <v>61</v>
      </c>
      <c r="C15" s="8">
        <v>26</v>
      </c>
      <c r="D15" s="8" t="s">
        <v>62</v>
      </c>
      <c r="E15" s="8" t="s">
        <v>63</v>
      </c>
      <c r="F15" s="8" t="s">
        <v>203</v>
      </c>
      <c r="G15" s="9" t="s">
        <v>202</v>
      </c>
      <c r="H15" s="9"/>
      <c r="I15" s="9"/>
      <c r="J15" s="9"/>
    </row>
    <row r="16" spans="1:10" ht="114.75">
      <c r="A16" s="8">
        <v>14</v>
      </c>
      <c r="B16" s="8" t="s">
        <v>61</v>
      </c>
      <c r="C16" s="8">
        <v>26</v>
      </c>
      <c r="D16" s="8" t="s">
        <v>64</v>
      </c>
      <c r="E16" s="8" t="s">
        <v>65</v>
      </c>
      <c r="F16" s="8" t="s">
        <v>203</v>
      </c>
      <c r="G16" s="9" t="s">
        <v>202</v>
      </c>
      <c r="H16" s="9"/>
      <c r="I16" s="9"/>
      <c r="J16" s="9"/>
    </row>
    <row r="17" spans="1:10" ht="51">
      <c r="A17" s="8">
        <v>15</v>
      </c>
      <c r="B17" s="8" t="s">
        <v>61</v>
      </c>
      <c r="C17" s="8">
        <v>26</v>
      </c>
      <c r="D17" s="8" t="s">
        <v>66</v>
      </c>
      <c r="E17" s="8" t="s">
        <v>67</v>
      </c>
      <c r="F17" s="8" t="s">
        <v>30</v>
      </c>
      <c r="G17" s="9" t="s">
        <v>202</v>
      </c>
      <c r="H17" s="9"/>
      <c r="I17" s="9"/>
      <c r="J17" s="9"/>
    </row>
    <row r="18" spans="1:10" ht="51">
      <c r="A18" s="8">
        <v>16</v>
      </c>
      <c r="B18" s="8" t="s">
        <v>61</v>
      </c>
      <c r="C18" s="8">
        <v>26</v>
      </c>
      <c r="D18" s="8" t="s">
        <v>68</v>
      </c>
      <c r="E18" s="8" t="s">
        <v>204</v>
      </c>
      <c r="F18" s="8" t="s">
        <v>30</v>
      </c>
      <c r="G18" s="9" t="s">
        <v>202</v>
      </c>
      <c r="H18" s="9"/>
      <c r="I18" s="9"/>
      <c r="J18" s="9"/>
    </row>
    <row r="19" spans="1:10" ht="165.75">
      <c r="A19" s="8">
        <v>17</v>
      </c>
      <c r="B19" s="8" t="s">
        <v>69</v>
      </c>
      <c r="C19" s="8">
        <v>45</v>
      </c>
      <c r="D19" s="8" t="s">
        <v>70</v>
      </c>
      <c r="E19" s="8" t="s">
        <v>71</v>
      </c>
      <c r="F19" s="8" t="s">
        <v>203</v>
      </c>
      <c r="G19" s="9" t="s">
        <v>202</v>
      </c>
      <c r="H19" s="9"/>
      <c r="I19" s="9"/>
      <c r="J19" s="9"/>
    </row>
    <row r="20" spans="1:10" ht="63.75">
      <c r="A20" s="8">
        <v>18</v>
      </c>
      <c r="B20" s="8" t="s">
        <v>69</v>
      </c>
      <c r="C20" s="8">
        <v>45</v>
      </c>
      <c r="D20" s="8" t="s">
        <v>72</v>
      </c>
      <c r="E20" s="8" t="s">
        <v>73</v>
      </c>
      <c r="F20" s="8" t="s">
        <v>30</v>
      </c>
      <c r="G20" s="9" t="s">
        <v>202</v>
      </c>
      <c r="H20" s="9"/>
      <c r="I20" s="9"/>
      <c r="J20" s="9"/>
    </row>
    <row r="21" spans="1:10" ht="25.5">
      <c r="A21" s="8">
        <v>19</v>
      </c>
      <c r="B21" s="8" t="s">
        <v>69</v>
      </c>
      <c r="C21" s="8">
        <v>45</v>
      </c>
      <c r="D21" s="8" t="s">
        <v>74</v>
      </c>
      <c r="E21" s="8" t="s">
        <v>75</v>
      </c>
      <c r="F21" s="8" t="s">
        <v>30</v>
      </c>
      <c r="G21" s="9" t="s">
        <v>202</v>
      </c>
      <c r="H21" s="9"/>
      <c r="I21" s="9"/>
      <c r="J21" s="9"/>
    </row>
    <row r="22" spans="1:10" ht="76.5">
      <c r="A22" s="8">
        <v>20</v>
      </c>
      <c r="B22" s="8" t="s">
        <v>69</v>
      </c>
      <c r="C22" s="8">
        <v>45</v>
      </c>
      <c r="D22" s="8" t="s">
        <v>76</v>
      </c>
      <c r="E22" s="8" t="s">
        <v>77</v>
      </c>
      <c r="F22" s="8" t="s">
        <v>50</v>
      </c>
      <c r="G22" s="9" t="s">
        <v>202</v>
      </c>
      <c r="H22" s="9"/>
      <c r="I22" s="9"/>
      <c r="J22" s="9"/>
    </row>
    <row r="23" spans="1:10" ht="102">
      <c r="A23" s="8">
        <v>21</v>
      </c>
      <c r="B23" s="8" t="s">
        <v>69</v>
      </c>
      <c r="C23" s="8">
        <v>45</v>
      </c>
      <c r="D23" s="8" t="s">
        <v>78</v>
      </c>
      <c r="E23" s="8" t="s">
        <v>79</v>
      </c>
      <c r="F23" s="8" t="s">
        <v>30</v>
      </c>
      <c r="G23" s="9" t="s">
        <v>202</v>
      </c>
      <c r="H23" s="9"/>
      <c r="I23" s="9"/>
      <c r="J23" s="9"/>
    </row>
    <row r="24" spans="1:10" ht="38.25">
      <c r="A24" s="8">
        <v>22</v>
      </c>
      <c r="B24" s="8" t="s">
        <v>69</v>
      </c>
      <c r="C24" s="8">
        <v>45</v>
      </c>
      <c r="D24" s="8" t="s">
        <v>80</v>
      </c>
      <c r="E24" s="8" t="s">
        <v>81</v>
      </c>
      <c r="F24" s="8" t="s">
        <v>30</v>
      </c>
      <c r="G24" s="9" t="s">
        <v>202</v>
      </c>
      <c r="H24" s="9"/>
      <c r="I24" s="9"/>
      <c r="J24" s="9"/>
    </row>
    <row r="25" spans="1:10" ht="76.5">
      <c r="A25" s="8">
        <v>23</v>
      </c>
      <c r="B25" s="8" t="s">
        <v>69</v>
      </c>
      <c r="C25" s="8">
        <v>45</v>
      </c>
      <c r="D25" s="8" t="s">
        <v>82</v>
      </c>
      <c r="E25" s="8" t="s">
        <v>83</v>
      </c>
      <c r="F25" s="8" t="s">
        <v>50</v>
      </c>
      <c r="G25" s="9" t="s">
        <v>202</v>
      </c>
      <c r="H25" s="9"/>
      <c r="I25" s="9"/>
      <c r="J25" s="9"/>
    </row>
    <row r="26" spans="1:10" ht="38.25">
      <c r="A26" s="8">
        <v>24</v>
      </c>
      <c r="B26" s="8" t="s">
        <v>69</v>
      </c>
      <c r="C26" s="8">
        <v>45</v>
      </c>
      <c r="D26" s="8" t="s">
        <v>84</v>
      </c>
      <c r="E26" s="8" t="s">
        <v>85</v>
      </c>
      <c r="F26" s="8" t="s">
        <v>30</v>
      </c>
      <c r="G26" s="9" t="s">
        <v>202</v>
      </c>
      <c r="H26" s="9"/>
      <c r="I26" s="9"/>
      <c r="J26" s="9"/>
    </row>
    <row r="27" spans="1:10" ht="25.5">
      <c r="A27" s="8">
        <v>25</v>
      </c>
      <c r="B27" s="8" t="s">
        <v>69</v>
      </c>
      <c r="C27" s="8">
        <v>45</v>
      </c>
      <c r="D27" s="8" t="s">
        <v>86</v>
      </c>
      <c r="E27" s="8" t="s">
        <v>87</v>
      </c>
      <c r="F27" s="8" t="s">
        <v>30</v>
      </c>
      <c r="G27" s="9" t="s">
        <v>202</v>
      </c>
      <c r="H27" s="9"/>
      <c r="I27" s="9"/>
      <c r="J27" s="9"/>
    </row>
    <row r="28" spans="1:10" ht="153">
      <c r="A28" s="8">
        <v>26</v>
      </c>
      <c r="B28" s="8" t="s">
        <v>88</v>
      </c>
      <c r="C28" s="8">
        <v>37</v>
      </c>
      <c r="D28" s="8" t="s">
        <v>89</v>
      </c>
      <c r="E28" s="8" t="s">
        <v>90</v>
      </c>
      <c r="F28" s="8" t="s">
        <v>30</v>
      </c>
      <c r="G28" s="9" t="s">
        <v>202</v>
      </c>
      <c r="H28" s="9"/>
      <c r="I28" s="9"/>
      <c r="J28" s="9"/>
    </row>
    <row r="29" spans="1:10" ht="114.75">
      <c r="A29" s="8">
        <v>27</v>
      </c>
      <c r="B29" s="8" t="s">
        <v>88</v>
      </c>
      <c r="C29" s="8">
        <v>37</v>
      </c>
      <c r="D29" s="8" t="s">
        <v>91</v>
      </c>
      <c r="E29" s="8" t="s">
        <v>92</v>
      </c>
      <c r="F29" s="8" t="s">
        <v>30</v>
      </c>
      <c r="G29" s="9" t="s">
        <v>202</v>
      </c>
      <c r="H29" s="9"/>
      <c r="I29" s="9"/>
      <c r="J29" s="9"/>
    </row>
    <row r="30" spans="1:10" ht="102">
      <c r="A30" s="8">
        <v>28</v>
      </c>
      <c r="B30" s="8" t="s">
        <v>88</v>
      </c>
      <c r="C30" s="8">
        <v>37</v>
      </c>
      <c r="D30" s="8" t="s">
        <v>93</v>
      </c>
      <c r="E30" s="8" t="s">
        <v>94</v>
      </c>
      <c r="F30" s="8" t="s">
        <v>203</v>
      </c>
      <c r="G30" s="9" t="s">
        <v>202</v>
      </c>
      <c r="H30" s="9"/>
      <c r="I30" s="9"/>
      <c r="J30" s="9"/>
    </row>
    <row r="31" spans="1:10" ht="38.25">
      <c r="A31" s="8">
        <v>29</v>
      </c>
      <c r="B31" s="8" t="s">
        <v>88</v>
      </c>
      <c r="C31" s="8">
        <v>37</v>
      </c>
      <c r="D31" s="8" t="s">
        <v>95</v>
      </c>
      <c r="E31" s="8" t="s">
        <v>96</v>
      </c>
      <c r="F31" s="8" t="s">
        <v>30</v>
      </c>
      <c r="G31" s="9" t="s">
        <v>202</v>
      </c>
      <c r="H31" s="9"/>
      <c r="I31" s="9"/>
      <c r="J31" s="9"/>
    </row>
    <row r="32" spans="1:10" ht="38.25">
      <c r="A32" s="8">
        <v>30</v>
      </c>
      <c r="B32" s="8" t="s">
        <v>88</v>
      </c>
      <c r="C32" s="8">
        <v>37</v>
      </c>
      <c r="D32" s="8" t="s">
        <v>97</v>
      </c>
      <c r="E32" s="8" t="s">
        <v>98</v>
      </c>
      <c r="F32" s="8" t="s">
        <v>203</v>
      </c>
      <c r="G32" s="9"/>
      <c r="H32" s="9"/>
      <c r="I32" s="9"/>
      <c r="J32" s="9"/>
    </row>
    <row r="33" spans="1:10" ht="114.75">
      <c r="A33" s="8">
        <v>31</v>
      </c>
      <c r="B33" s="8" t="s">
        <v>99</v>
      </c>
      <c r="C33" s="8">
        <v>21</v>
      </c>
      <c r="D33" s="8" t="s">
        <v>100</v>
      </c>
      <c r="E33" s="8" t="s">
        <v>101</v>
      </c>
      <c r="F33" s="8" t="s">
        <v>30</v>
      </c>
      <c r="G33" s="9"/>
      <c r="H33" s="9"/>
      <c r="I33" s="9"/>
      <c r="J33" s="9"/>
    </row>
    <row r="34" spans="1:10" ht="63.75">
      <c r="A34" s="8">
        <v>32</v>
      </c>
      <c r="B34" s="8" t="s">
        <v>99</v>
      </c>
      <c r="C34" s="8">
        <v>21</v>
      </c>
      <c r="D34" s="8" t="s">
        <v>102</v>
      </c>
      <c r="E34" s="8" t="s">
        <v>103</v>
      </c>
      <c r="F34" s="8" t="s">
        <v>30</v>
      </c>
      <c r="G34" s="9" t="s">
        <v>202</v>
      </c>
      <c r="H34" s="9"/>
      <c r="I34" s="9"/>
      <c r="J34" s="9"/>
    </row>
    <row r="35" spans="1:10" ht="38.25">
      <c r="A35" s="8">
        <v>33</v>
      </c>
      <c r="B35" s="8" t="s">
        <v>99</v>
      </c>
      <c r="C35" s="8">
        <v>21</v>
      </c>
      <c r="D35" s="8" t="s">
        <v>104</v>
      </c>
      <c r="E35" s="8" t="s">
        <v>105</v>
      </c>
      <c r="F35" s="8" t="s">
        <v>30</v>
      </c>
      <c r="G35" s="9" t="s">
        <v>202</v>
      </c>
      <c r="H35" s="9"/>
      <c r="I35" s="9"/>
      <c r="J35" s="9"/>
    </row>
    <row r="36" spans="1:10" ht="25.5">
      <c r="A36" s="8">
        <v>34</v>
      </c>
      <c r="B36" s="8" t="s">
        <v>99</v>
      </c>
      <c r="C36" s="8">
        <v>21</v>
      </c>
      <c r="D36" s="8" t="s">
        <v>106</v>
      </c>
      <c r="E36" s="8" t="s">
        <v>107</v>
      </c>
      <c r="F36" s="8" t="s">
        <v>30</v>
      </c>
      <c r="G36" s="9" t="s">
        <v>202</v>
      </c>
      <c r="H36" s="9"/>
      <c r="I36" s="9"/>
      <c r="J36" s="9"/>
    </row>
    <row r="37" spans="1:10" ht="63.75">
      <c r="A37" s="8">
        <v>35</v>
      </c>
      <c r="B37" s="8" t="s">
        <v>108</v>
      </c>
      <c r="C37" s="8">
        <v>32</v>
      </c>
      <c r="D37" s="8" t="s">
        <v>109</v>
      </c>
      <c r="E37" s="8" t="s">
        <v>205</v>
      </c>
      <c r="F37" s="8" t="s">
        <v>30</v>
      </c>
      <c r="G37" s="9" t="s">
        <v>202</v>
      </c>
      <c r="H37" s="9"/>
      <c r="I37" s="9"/>
      <c r="J37" s="9"/>
    </row>
    <row r="38" spans="1:10" ht="102">
      <c r="A38" s="8">
        <v>36</v>
      </c>
      <c r="B38" s="8" t="s">
        <v>108</v>
      </c>
      <c r="C38" s="8">
        <v>32</v>
      </c>
      <c r="D38" s="8" t="s">
        <v>110</v>
      </c>
      <c r="E38" s="8" t="s">
        <v>111</v>
      </c>
      <c r="F38" s="8" t="s">
        <v>30</v>
      </c>
      <c r="G38" s="9" t="s">
        <v>202</v>
      </c>
      <c r="H38" s="9"/>
      <c r="I38" s="9"/>
      <c r="J38" s="9"/>
    </row>
    <row r="39" spans="1:10" ht="38.25">
      <c r="A39" s="8">
        <v>37</v>
      </c>
      <c r="B39" s="8" t="s">
        <v>108</v>
      </c>
      <c r="C39" s="8">
        <v>32</v>
      </c>
      <c r="D39" s="8" t="s">
        <v>112</v>
      </c>
      <c r="E39" s="8" t="s">
        <v>113</v>
      </c>
      <c r="F39" s="8" t="s">
        <v>30</v>
      </c>
      <c r="G39" s="9" t="s">
        <v>202</v>
      </c>
      <c r="H39" s="9"/>
      <c r="I39" s="9"/>
      <c r="J39" s="9"/>
    </row>
    <row r="40" spans="1:10" ht="38.25">
      <c r="A40" s="8">
        <v>38</v>
      </c>
      <c r="B40" s="8" t="s">
        <v>108</v>
      </c>
      <c r="C40" s="8">
        <v>32</v>
      </c>
      <c r="D40" s="8" t="s">
        <v>114</v>
      </c>
      <c r="E40" s="8" t="s">
        <v>115</v>
      </c>
      <c r="F40" s="8" t="s">
        <v>30</v>
      </c>
      <c r="G40" s="9" t="s">
        <v>202</v>
      </c>
      <c r="H40" s="9"/>
      <c r="I40" s="9"/>
      <c r="J40" s="9"/>
    </row>
    <row r="41" spans="1:10" ht="102">
      <c r="A41" s="8">
        <v>39</v>
      </c>
      <c r="B41" s="8" t="s">
        <v>108</v>
      </c>
      <c r="C41" s="8">
        <v>32</v>
      </c>
      <c r="D41" s="8" t="s">
        <v>116</v>
      </c>
      <c r="E41" s="8" t="s">
        <v>117</v>
      </c>
      <c r="F41" s="8" t="s">
        <v>203</v>
      </c>
      <c r="G41" s="9"/>
      <c r="H41" s="9"/>
      <c r="I41" s="9"/>
      <c r="J41" s="9"/>
    </row>
    <row r="42" spans="1:10" ht="38.25">
      <c r="A42" s="8">
        <v>40</v>
      </c>
      <c r="B42" s="8" t="s">
        <v>108</v>
      </c>
      <c r="C42" s="8">
        <v>32</v>
      </c>
      <c r="D42" s="8" t="s">
        <v>118</v>
      </c>
      <c r="E42" s="8" t="s">
        <v>119</v>
      </c>
      <c r="F42" s="8" t="s">
        <v>203</v>
      </c>
      <c r="G42" s="9"/>
      <c r="H42" s="9"/>
      <c r="I42" s="9"/>
      <c r="J42" s="9"/>
    </row>
    <row r="43" spans="1:10" ht="38.25">
      <c r="A43" s="8">
        <v>41</v>
      </c>
      <c r="B43" s="8" t="s">
        <v>108</v>
      </c>
      <c r="C43" s="8">
        <v>32</v>
      </c>
      <c r="D43" s="8" t="s">
        <v>120</v>
      </c>
      <c r="E43" s="8" t="s">
        <v>121</v>
      </c>
      <c r="F43" s="8" t="s">
        <v>203</v>
      </c>
      <c r="G43" s="9"/>
      <c r="H43" s="9"/>
      <c r="I43" s="9"/>
      <c r="J43" s="9"/>
    </row>
    <row r="44" spans="1:10" ht="153">
      <c r="A44" s="8">
        <v>42</v>
      </c>
      <c r="B44" s="8" t="s">
        <v>122</v>
      </c>
      <c r="C44" s="8">
        <v>40</v>
      </c>
      <c r="D44" s="8" t="s">
        <v>123</v>
      </c>
      <c r="E44" s="8" t="s">
        <v>124</v>
      </c>
      <c r="F44" s="8" t="s">
        <v>30</v>
      </c>
      <c r="G44" s="9" t="s">
        <v>202</v>
      </c>
      <c r="H44" s="9"/>
      <c r="I44" s="9"/>
      <c r="J44" s="9"/>
    </row>
    <row r="45" spans="1:10" ht="38.25">
      <c r="A45" s="8">
        <v>43</v>
      </c>
      <c r="B45" s="8" t="s">
        <v>122</v>
      </c>
      <c r="C45" s="8">
        <v>40</v>
      </c>
      <c r="D45" s="8" t="s">
        <v>125</v>
      </c>
      <c r="E45" s="8" t="s">
        <v>126</v>
      </c>
      <c r="F45" s="8" t="s">
        <v>203</v>
      </c>
      <c r="G45" s="9"/>
      <c r="H45" s="9"/>
      <c r="I45" s="9"/>
      <c r="J45" s="9"/>
    </row>
    <row r="46" spans="1:10" ht="127.5">
      <c r="A46" s="8">
        <v>44</v>
      </c>
      <c r="B46" s="8" t="s">
        <v>122</v>
      </c>
      <c r="C46" s="8">
        <v>40</v>
      </c>
      <c r="D46" s="8" t="s">
        <v>127</v>
      </c>
      <c r="E46" s="8" t="s">
        <v>128</v>
      </c>
      <c r="F46" s="8" t="s">
        <v>30</v>
      </c>
      <c r="G46" s="9" t="s">
        <v>202</v>
      </c>
      <c r="H46" s="9"/>
      <c r="I46" s="9"/>
      <c r="J46" s="9"/>
    </row>
    <row r="47" spans="1:10" ht="25.5">
      <c r="A47" s="8">
        <v>45</v>
      </c>
      <c r="B47" s="8" t="s">
        <v>122</v>
      </c>
      <c r="C47" s="8">
        <v>40</v>
      </c>
      <c r="D47" s="8" t="s">
        <v>129</v>
      </c>
      <c r="E47" s="8" t="s">
        <v>130</v>
      </c>
      <c r="F47" s="8" t="s">
        <v>30</v>
      </c>
      <c r="G47" s="9" t="s">
        <v>202</v>
      </c>
      <c r="H47" s="9"/>
      <c r="I47" s="9"/>
      <c r="J47" s="9"/>
    </row>
    <row r="48" spans="1:10" ht="25.5">
      <c r="A48" s="8">
        <v>46</v>
      </c>
      <c r="B48" s="8" t="s">
        <v>122</v>
      </c>
      <c r="C48" s="8">
        <v>40</v>
      </c>
      <c r="D48" s="8" t="s">
        <v>131</v>
      </c>
      <c r="E48" s="8" t="s">
        <v>132</v>
      </c>
      <c r="F48" s="8" t="s">
        <v>30</v>
      </c>
      <c r="G48" s="9" t="s">
        <v>202</v>
      </c>
      <c r="H48" s="9"/>
      <c r="I48" s="9"/>
      <c r="J48" s="9"/>
    </row>
    <row r="49" spans="1:10">
      <c r="A49" s="8">
        <v>47</v>
      </c>
      <c r="B49" s="8" t="s">
        <v>122</v>
      </c>
      <c r="C49" s="8">
        <v>40</v>
      </c>
      <c r="D49" s="8" t="s">
        <v>133</v>
      </c>
      <c r="E49" s="8" t="s">
        <v>134</v>
      </c>
      <c r="F49" s="8" t="s">
        <v>30</v>
      </c>
      <c r="G49" s="9" t="s">
        <v>202</v>
      </c>
      <c r="H49" s="9"/>
      <c r="I49" s="9"/>
      <c r="J49" s="9"/>
    </row>
    <row r="50" spans="1:10" ht="38.25">
      <c r="A50" s="8">
        <v>48</v>
      </c>
      <c r="B50" s="8" t="s">
        <v>122</v>
      </c>
      <c r="C50" s="8">
        <v>40</v>
      </c>
      <c r="D50" s="8" t="s">
        <v>135</v>
      </c>
      <c r="E50" s="8" t="s">
        <v>136</v>
      </c>
      <c r="F50" s="8" t="s">
        <v>30</v>
      </c>
      <c r="G50" s="9" t="s">
        <v>202</v>
      </c>
      <c r="H50" s="9"/>
      <c r="I50" s="9"/>
      <c r="J50" s="9"/>
    </row>
    <row r="51" spans="1:10" ht="25.5">
      <c r="A51" s="8">
        <v>49</v>
      </c>
      <c r="B51" s="8" t="s">
        <v>122</v>
      </c>
      <c r="C51" s="8">
        <v>40</v>
      </c>
      <c r="D51" s="8" t="s">
        <v>137</v>
      </c>
      <c r="E51" s="8" t="s">
        <v>138</v>
      </c>
      <c r="F51" s="8" t="s">
        <v>30</v>
      </c>
      <c r="G51" s="9" t="s">
        <v>202</v>
      </c>
      <c r="H51" s="9"/>
      <c r="I51" s="9"/>
      <c r="J51" s="9"/>
    </row>
    <row r="52" spans="1:10" ht="25.5">
      <c r="A52" s="8">
        <v>50</v>
      </c>
      <c r="B52" s="8" t="s">
        <v>122</v>
      </c>
      <c r="C52" s="8">
        <v>40</v>
      </c>
      <c r="D52" s="8" t="s">
        <v>139</v>
      </c>
      <c r="E52" s="8" t="s">
        <v>140</v>
      </c>
      <c r="F52" s="8" t="s">
        <v>30</v>
      </c>
      <c r="G52" s="9" t="s">
        <v>202</v>
      </c>
      <c r="H52" s="9"/>
      <c r="I52" s="9"/>
      <c r="J52" s="9"/>
    </row>
    <row r="53" spans="1:10" ht="25.5">
      <c r="A53" s="8">
        <v>51</v>
      </c>
      <c r="B53" s="8" t="s">
        <v>122</v>
      </c>
      <c r="C53" s="8">
        <v>40</v>
      </c>
      <c r="D53" s="8" t="s">
        <v>141</v>
      </c>
      <c r="E53" s="8" t="s">
        <v>142</v>
      </c>
      <c r="F53" s="8" t="s">
        <v>50</v>
      </c>
      <c r="G53" s="9" t="s">
        <v>202</v>
      </c>
      <c r="H53" s="9"/>
      <c r="I53" s="9"/>
      <c r="J53" s="9"/>
    </row>
    <row r="54" spans="1:10" ht="51">
      <c r="A54" s="8">
        <v>52</v>
      </c>
      <c r="B54" s="8" t="s">
        <v>143</v>
      </c>
      <c r="C54" s="8">
        <v>29</v>
      </c>
      <c r="D54" s="8" t="s">
        <v>144</v>
      </c>
      <c r="E54" s="8" t="s">
        <v>145</v>
      </c>
      <c r="F54" s="8" t="s">
        <v>30</v>
      </c>
      <c r="G54" s="9" t="s">
        <v>202</v>
      </c>
      <c r="H54" s="9"/>
      <c r="I54" s="9"/>
      <c r="J54" s="9"/>
    </row>
    <row r="55" spans="1:10" ht="38.25">
      <c r="A55" s="8">
        <v>53</v>
      </c>
      <c r="B55" s="8" t="s">
        <v>143</v>
      </c>
      <c r="C55" s="8">
        <v>29</v>
      </c>
      <c r="D55" s="8" t="s">
        <v>146</v>
      </c>
      <c r="E55" s="8" t="s">
        <v>147</v>
      </c>
      <c r="F55" s="8" t="s">
        <v>30</v>
      </c>
      <c r="G55" s="9" t="s">
        <v>202</v>
      </c>
      <c r="H55" s="9"/>
      <c r="I55" s="9"/>
      <c r="J55" s="9"/>
    </row>
    <row r="56" spans="1:10" ht="38.25">
      <c r="A56" s="8">
        <v>54</v>
      </c>
      <c r="B56" s="8" t="s">
        <v>143</v>
      </c>
      <c r="C56" s="8">
        <v>29</v>
      </c>
      <c r="D56" s="8" t="s">
        <v>148</v>
      </c>
      <c r="E56" s="8" t="s">
        <v>149</v>
      </c>
      <c r="F56" s="8" t="s">
        <v>30</v>
      </c>
      <c r="G56" s="9" t="s">
        <v>202</v>
      </c>
      <c r="H56" s="9"/>
      <c r="I56" s="9"/>
      <c r="J56" s="9"/>
    </row>
    <row r="57" spans="1:10" ht="38.25">
      <c r="A57" s="8">
        <v>55</v>
      </c>
      <c r="B57" s="8" t="s">
        <v>143</v>
      </c>
      <c r="C57" s="8">
        <v>29</v>
      </c>
      <c r="D57" s="8" t="s">
        <v>150</v>
      </c>
      <c r="E57" s="8" t="s">
        <v>151</v>
      </c>
      <c r="F57" s="8" t="s">
        <v>30</v>
      </c>
      <c r="G57" s="9" t="s">
        <v>202</v>
      </c>
      <c r="H57" s="9"/>
      <c r="I57" s="9"/>
      <c r="J57" s="9"/>
    </row>
    <row r="58" spans="1:10" ht="38.25">
      <c r="A58" s="8">
        <v>56</v>
      </c>
      <c r="B58" s="8" t="s">
        <v>143</v>
      </c>
      <c r="C58" s="8">
        <v>29</v>
      </c>
      <c r="D58" s="8" t="s">
        <v>152</v>
      </c>
      <c r="E58" s="8" t="s">
        <v>153</v>
      </c>
      <c r="F58" s="8" t="s">
        <v>30</v>
      </c>
      <c r="G58" s="9" t="s">
        <v>202</v>
      </c>
      <c r="H58" s="9"/>
      <c r="I58" s="9"/>
      <c r="J58" s="9"/>
    </row>
    <row r="59" spans="1:10" ht="51">
      <c r="A59" s="8">
        <v>57</v>
      </c>
      <c r="B59" s="8" t="s">
        <v>143</v>
      </c>
      <c r="C59" s="8">
        <v>29</v>
      </c>
      <c r="D59" s="8" t="s">
        <v>154</v>
      </c>
      <c r="E59" s="8" t="s">
        <v>155</v>
      </c>
      <c r="F59" s="8" t="s">
        <v>30</v>
      </c>
      <c r="G59" s="9" t="s">
        <v>202</v>
      </c>
      <c r="H59" s="9"/>
      <c r="I59" s="9"/>
      <c r="J59" s="9"/>
    </row>
    <row r="60" spans="1:10" ht="51">
      <c r="A60" s="8">
        <v>58</v>
      </c>
      <c r="B60" s="8" t="s">
        <v>143</v>
      </c>
      <c r="C60" s="8">
        <v>29</v>
      </c>
      <c r="D60" s="8" t="s">
        <v>156</v>
      </c>
      <c r="E60" s="8" t="s">
        <v>157</v>
      </c>
      <c r="F60" s="8" t="s">
        <v>30</v>
      </c>
      <c r="G60" s="9" t="s">
        <v>202</v>
      </c>
      <c r="H60" s="9"/>
      <c r="I60" s="9"/>
      <c r="J60" s="9"/>
    </row>
    <row r="61" spans="1:10" ht="38.25">
      <c r="A61" s="8">
        <v>59</v>
      </c>
      <c r="B61" s="8" t="s">
        <v>143</v>
      </c>
      <c r="C61" s="8">
        <v>29</v>
      </c>
      <c r="D61" s="8" t="s">
        <v>158</v>
      </c>
      <c r="E61" s="8" t="s">
        <v>159</v>
      </c>
      <c r="F61" s="8" t="s">
        <v>50</v>
      </c>
      <c r="G61" s="9" t="s">
        <v>202</v>
      </c>
      <c r="H61" s="9"/>
      <c r="I61" s="9"/>
      <c r="J61" s="9"/>
    </row>
    <row r="62" spans="1:10" ht="38.25">
      <c r="A62" s="8">
        <v>60</v>
      </c>
      <c r="B62" s="8" t="s">
        <v>143</v>
      </c>
      <c r="C62" s="8">
        <v>29</v>
      </c>
      <c r="D62" s="8" t="s">
        <v>160</v>
      </c>
      <c r="E62" s="8" t="s">
        <v>161</v>
      </c>
      <c r="F62" s="8" t="s">
        <v>203</v>
      </c>
      <c r="G62" s="9"/>
      <c r="H62" s="9"/>
      <c r="I62" s="9"/>
      <c r="J62" s="9"/>
    </row>
    <row r="63" spans="1:10" ht="140.25">
      <c r="A63" s="8">
        <v>61</v>
      </c>
      <c r="B63" s="8" t="s">
        <v>162</v>
      </c>
      <c r="C63" s="8">
        <v>36</v>
      </c>
      <c r="D63" s="8" t="s">
        <v>163</v>
      </c>
      <c r="E63" s="8" t="s">
        <v>164</v>
      </c>
      <c r="F63" s="8" t="s">
        <v>30</v>
      </c>
      <c r="G63" s="9" t="s">
        <v>202</v>
      </c>
      <c r="H63" s="9"/>
      <c r="I63" s="9"/>
      <c r="J63" s="9"/>
    </row>
    <row r="64" spans="1:10" ht="76.5">
      <c r="A64" s="8">
        <v>62</v>
      </c>
      <c r="B64" s="8" t="s">
        <v>162</v>
      </c>
      <c r="C64" s="8">
        <v>36</v>
      </c>
      <c r="D64" s="8" t="s">
        <v>165</v>
      </c>
      <c r="E64" s="8" t="s">
        <v>166</v>
      </c>
      <c r="F64" s="8" t="s">
        <v>30</v>
      </c>
      <c r="G64" s="9" t="s">
        <v>202</v>
      </c>
      <c r="H64" s="9"/>
      <c r="I64" s="9"/>
      <c r="J64" s="9"/>
    </row>
    <row r="65" spans="1:10" ht="63.75">
      <c r="A65" s="8">
        <v>63</v>
      </c>
      <c r="B65" s="8" t="s">
        <v>162</v>
      </c>
      <c r="C65" s="8">
        <v>36</v>
      </c>
      <c r="D65" s="8" t="s">
        <v>167</v>
      </c>
      <c r="E65" s="8" t="s">
        <v>168</v>
      </c>
      <c r="F65" s="8" t="s">
        <v>30</v>
      </c>
      <c r="G65" s="9" t="s">
        <v>202</v>
      </c>
      <c r="H65" s="9"/>
      <c r="I65" s="9"/>
      <c r="J65" s="9"/>
    </row>
    <row r="66" spans="1:10" ht="63.75">
      <c r="A66" s="8">
        <v>64</v>
      </c>
      <c r="B66" s="8" t="s">
        <v>162</v>
      </c>
      <c r="C66" s="8">
        <v>36</v>
      </c>
      <c r="D66" s="8" t="s">
        <v>169</v>
      </c>
      <c r="E66" s="8" t="s">
        <v>170</v>
      </c>
      <c r="F66" s="8" t="s">
        <v>30</v>
      </c>
      <c r="G66" s="9" t="s">
        <v>202</v>
      </c>
      <c r="H66" s="9"/>
      <c r="I66" s="9"/>
      <c r="J66" s="9"/>
    </row>
    <row r="67" spans="1:10" ht="165.75">
      <c r="A67" s="8">
        <v>65</v>
      </c>
      <c r="B67" s="8" t="s">
        <v>171</v>
      </c>
      <c r="C67" s="8">
        <v>11</v>
      </c>
      <c r="D67" s="8" t="s">
        <v>172</v>
      </c>
      <c r="E67" s="8" t="s">
        <v>173</v>
      </c>
      <c r="F67" s="8" t="s">
        <v>30</v>
      </c>
      <c r="G67" s="9" t="s">
        <v>202</v>
      </c>
      <c r="H67" s="9"/>
      <c r="I67" s="9"/>
      <c r="J67" s="9"/>
    </row>
  </sheetData>
  <autoFilter ref="A1:J67"/>
  <conditionalFormatting sqref="A3:J67">
    <cfRule type="expression" dxfId="0" priority="1">
      <formula>$G3="Não vale mais"</formula>
    </cfRule>
  </conditionalFormatting>
  <dataValidations count="2">
    <dataValidation type="list" allowBlank="1" sqref="G3:G67">
      <formula1>"Sim,Ajustar,Não vale mais"</formula1>
    </dataValidation>
    <dataValidation type="list" allowBlank="1" sqref="I3:I67">
      <formula1>"Sim,Em parte,Não"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" customWidth="1"/>
    <col min="2" max="3" width="60" customWidth="1"/>
    <col min="4" max="4" width="14" customWidth="1"/>
  </cols>
  <sheetData>
    <row r="1" spans="1:4" ht="33.950000000000003" customHeight="1">
      <c r="A1" s="5" t="s">
        <v>16</v>
      </c>
      <c r="B1" s="5" t="s">
        <v>174</v>
      </c>
      <c r="C1" s="6" t="s">
        <v>175</v>
      </c>
      <c r="D1" s="6" t="s">
        <v>24</v>
      </c>
    </row>
    <row r="2" spans="1:4">
      <c r="A2" s="7" t="s">
        <v>26</v>
      </c>
      <c r="B2" s="7" t="s">
        <v>176</v>
      </c>
      <c r="C2" s="7" t="s">
        <v>177</v>
      </c>
      <c r="D2" s="7" t="s">
        <v>178</v>
      </c>
    </row>
    <row r="3" spans="1:4" ht="25.5">
      <c r="A3" s="8">
        <v>1</v>
      </c>
      <c r="B3" s="8" t="s">
        <v>179</v>
      </c>
      <c r="C3" s="9"/>
      <c r="D3" s="9"/>
    </row>
    <row r="4" spans="1:4" ht="25.5">
      <c r="A4" s="8">
        <v>2</v>
      </c>
      <c r="B4" s="8" t="s">
        <v>180</v>
      </c>
      <c r="C4" s="9"/>
      <c r="D4" s="9"/>
    </row>
    <row r="5" spans="1:4" ht="25.5">
      <c r="A5" s="8">
        <v>3</v>
      </c>
      <c r="B5" s="8" t="s">
        <v>181</v>
      </c>
      <c r="C5" s="9"/>
      <c r="D5" s="9"/>
    </row>
    <row r="6" spans="1:4" ht="25.5">
      <c r="A6" s="8">
        <v>4</v>
      </c>
      <c r="B6" s="8" t="s">
        <v>182</v>
      </c>
      <c r="C6" s="9"/>
      <c r="D6" s="9"/>
    </row>
    <row r="7" spans="1:4">
      <c r="A7" s="8">
        <v>5</v>
      </c>
      <c r="B7" s="8" t="s">
        <v>176</v>
      </c>
      <c r="C7" s="9"/>
      <c r="D7" s="9"/>
    </row>
    <row r="8" spans="1:4" ht="38.25">
      <c r="A8" s="8">
        <v>6</v>
      </c>
      <c r="B8" s="8" t="s">
        <v>183</v>
      </c>
      <c r="C8" s="9"/>
      <c r="D8" s="9"/>
    </row>
    <row r="9" spans="1:4" ht="25.5">
      <c r="A9" s="8">
        <v>7</v>
      </c>
      <c r="B9" s="8" t="s">
        <v>184</v>
      </c>
      <c r="C9" s="9"/>
      <c r="D9" s="9"/>
    </row>
    <row r="10" spans="1:4">
      <c r="A10" s="8">
        <v>8</v>
      </c>
      <c r="B10" s="8" t="s">
        <v>185</v>
      </c>
      <c r="C10" s="9"/>
      <c r="D10" s="9"/>
    </row>
    <row r="11" spans="1:4" ht="25.5">
      <c r="A11" s="8">
        <v>9</v>
      </c>
      <c r="B11" s="8" t="s">
        <v>186</v>
      </c>
      <c r="C11" s="9"/>
      <c r="D11" s="9"/>
    </row>
    <row r="12" spans="1:4">
      <c r="A12" s="8">
        <v>10</v>
      </c>
      <c r="B12" s="8" t="s">
        <v>187</v>
      </c>
      <c r="C12" s="9"/>
      <c r="D12" s="9"/>
    </row>
    <row r="13" spans="1:4">
      <c r="A13" s="8">
        <v>11</v>
      </c>
      <c r="B13" s="8" t="s">
        <v>188</v>
      </c>
      <c r="C13" s="9"/>
      <c r="D13" s="9"/>
    </row>
  </sheetData>
  <dataValidations count="1">
    <dataValidation type="list" allowBlank="1" sqref="D3:D13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" customWidth="1"/>
    <col min="2" max="2" width="80" customWidth="1"/>
    <col min="3" max="3" width="60" customWidth="1"/>
  </cols>
  <sheetData>
    <row r="1" spans="1:3" ht="33.950000000000003" customHeight="1">
      <c r="A1" s="5" t="s">
        <v>16</v>
      </c>
      <c r="B1" s="5" t="s">
        <v>189</v>
      </c>
      <c r="C1" s="6" t="s">
        <v>190</v>
      </c>
    </row>
    <row r="2" spans="1:3">
      <c r="A2" s="7" t="s">
        <v>26</v>
      </c>
      <c r="B2" s="7" t="s">
        <v>191</v>
      </c>
      <c r="C2" s="7" t="s">
        <v>192</v>
      </c>
    </row>
    <row r="3" spans="1:3" ht="38.25">
      <c r="A3" s="8">
        <v>1</v>
      </c>
      <c r="B3" s="8" t="s">
        <v>193</v>
      </c>
      <c r="C3" s="9"/>
    </row>
    <row r="4" spans="1:3" ht="38.25">
      <c r="A4" s="8">
        <v>2</v>
      </c>
      <c r="B4" s="8" t="s">
        <v>194</v>
      </c>
      <c r="C4" s="9"/>
    </row>
    <row r="5" spans="1:3">
      <c r="A5" s="8">
        <v>3</v>
      </c>
      <c r="B5" s="8" t="s">
        <v>195</v>
      </c>
      <c r="C5" s="9"/>
    </row>
    <row r="6" spans="1:3" ht="25.5">
      <c r="A6" s="8">
        <v>4</v>
      </c>
      <c r="B6" s="8" t="s">
        <v>196</v>
      </c>
      <c r="C6" s="9"/>
    </row>
    <row r="7" spans="1:3">
      <c r="A7" s="8">
        <v>5</v>
      </c>
      <c r="B7" s="8" t="s">
        <v>197</v>
      </c>
      <c r="C7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50" customWidth="1"/>
    <col min="3" max="3" width="70" customWidth="1"/>
    <col min="4" max="4" width="14" customWidth="1"/>
  </cols>
  <sheetData>
    <row r="1" spans="1:4" ht="33.950000000000003" customHeight="1">
      <c r="A1" s="6" t="s">
        <v>17</v>
      </c>
      <c r="B1" s="6" t="s">
        <v>19</v>
      </c>
      <c r="C1" s="6" t="s">
        <v>198</v>
      </c>
      <c r="D1" s="6" t="s">
        <v>24</v>
      </c>
    </row>
    <row r="2" spans="1:4">
      <c r="A2" s="7" t="s">
        <v>199</v>
      </c>
      <c r="B2" s="7" t="s">
        <v>200</v>
      </c>
      <c r="C2" s="7" t="s">
        <v>201</v>
      </c>
      <c r="D2" s="7" t="s">
        <v>33</v>
      </c>
    </row>
    <row r="3" spans="1:4">
      <c r="A3" s="9"/>
      <c r="B3" s="9"/>
      <c r="C3" s="9"/>
      <c r="D3" s="9"/>
    </row>
    <row r="4" spans="1:4">
      <c r="A4" s="9"/>
      <c r="B4" s="9"/>
      <c r="C4" s="9"/>
      <c r="D4" s="9"/>
    </row>
    <row r="5" spans="1:4">
      <c r="A5" s="9"/>
      <c r="B5" s="9"/>
      <c r="C5" s="9"/>
      <c r="D5" s="9"/>
    </row>
    <row r="6" spans="1:4">
      <c r="A6" s="9"/>
      <c r="B6" s="9"/>
      <c r="C6" s="9"/>
      <c r="D6" s="9"/>
    </row>
    <row r="7" spans="1:4">
      <c r="A7" s="9"/>
      <c r="B7" s="9"/>
      <c r="C7" s="9"/>
      <c r="D7" s="9"/>
    </row>
    <row r="8" spans="1:4">
      <c r="A8" s="9"/>
      <c r="B8" s="9"/>
      <c r="C8" s="9"/>
      <c r="D8" s="9"/>
    </row>
    <row r="9" spans="1:4">
      <c r="A9" s="9"/>
      <c r="B9" s="9"/>
      <c r="C9" s="9"/>
      <c r="D9" s="9"/>
    </row>
    <row r="10" spans="1:4">
      <c r="A10" s="9"/>
      <c r="B10" s="9"/>
      <c r="C10" s="9"/>
      <c r="D10" s="9"/>
    </row>
    <row r="11" spans="1:4">
      <c r="A11" s="9"/>
      <c r="B11" s="9"/>
      <c r="C11" s="9"/>
      <c r="D11" s="9"/>
    </row>
    <row r="12" spans="1:4">
      <c r="A12" s="9"/>
      <c r="B12" s="9"/>
      <c r="C12" s="9"/>
      <c r="D12" s="9"/>
    </row>
    <row r="13" spans="1:4">
      <c r="A13" s="9"/>
      <c r="B13" s="9"/>
      <c r="C13" s="9"/>
      <c r="D13" s="9"/>
    </row>
    <row r="14" spans="1:4">
      <c r="A14" s="9"/>
      <c r="B14" s="9"/>
      <c r="C14" s="9"/>
      <c r="D14" s="9"/>
    </row>
    <row r="15" spans="1:4">
      <c r="A15" s="9"/>
      <c r="B15" s="9"/>
      <c r="C15" s="9"/>
      <c r="D15" s="9"/>
    </row>
    <row r="16" spans="1:4">
      <c r="A16" s="9"/>
      <c r="B16" s="9"/>
      <c r="C16" s="9"/>
      <c r="D16" s="9"/>
    </row>
    <row r="17" spans="1:4">
      <c r="A17" s="9"/>
      <c r="B17" s="9"/>
      <c r="C17" s="9"/>
      <c r="D17" s="9"/>
    </row>
    <row r="18" spans="1:4">
      <c r="A18" s="9"/>
      <c r="B18" s="9"/>
      <c r="C18" s="9"/>
      <c r="D18" s="9"/>
    </row>
    <row r="19" spans="1:4">
      <c r="A19" s="9"/>
      <c r="B19" s="9"/>
      <c r="C19" s="9"/>
      <c r="D19" s="9"/>
    </row>
    <row r="20" spans="1:4">
      <c r="A20" s="9"/>
      <c r="B20" s="9"/>
      <c r="C20" s="9"/>
      <c r="D20" s="9"/>
    </row>
    <row r="21" spans="1:4">
      <c r="A21" s="9"/>
      <c r="B21" s="9"/>
      <c r="C21" s="9"/>
      <c r="D21" s="9"/>
    </row>
    <row r="22" spans="1:4">
      <c r="A22" s="9"/>
      <c r="B22" s="9"/>
      <c r="C22" s="9"/>
      <c r="D22" s="9"/>
    </row>
    <row r="23" spans="1:4">
      <c r="A23" s="9"/>
      <c r="B23" s="9"/>
      <c r="C23" s="9"/>
      <c r="D23" s="9"/>
    </row>
    <row r="24" spans="1:4">
      <c r="A24" s="9"/>
      <c r="B24" s="9"/>
      <c r="C24" s="9"/>
      <c r="D24" s="9"/>
    </row>
    <row r="25" spans="1:4">
      <c r="A25" s="9"/>
      <c r="B25" s="9"/>
      <c r="C25" s="9"/>
      <c r="D25" s="9"/>
    </row>
    <row r="26" spans="1:4">
      <c r="A26" s="9"/>
      <c r="B26" s="9"/>
      <c r="C26" s="9"/>
      <c r="D26" s="9"/>
    </row>
    <row r="27" spans="1:4">
      <c r="A27" s="9"/>
      <c r="B27" s="9"/>
      <c r="C27" s="9"/>
      <c r="D27" s="9"/>
    </row>
    <row r="28" spans="1:4">
      <c r="A28" s="9"/>
      <c r="B28" s="9"/>
      <c r="C28" s="9"/>
      <c r="D28" s="9"/>
    </row>
    <row r="29" spans="1:4">
      <c r="A29" s="9"/>
      <c r="B29" s="9"/>
      <c r="C29" s="9"/>
      <c r="D29" s="9"/>
    </row>
    <row r="30" spans="1:4">
      <c r="A30" s="9"/>
      <c r="B30" s="9"/>
      <c r="C30" s="9"/>
      <c r="D30" s="9"/>
    </row>
    <row r="31" spans="1:4">
      <c r="A31" s="9"/>
      <c r="B31" s="9"/>
      <c r="C31" s="9"/>
      <c r="D31" s="9"/>
    </row>
    <row r="32" spans="1:4">
      <c r="A32" s="9"/>
      <c r="B32" s="9"/>
      <c r="C32" s="9"/>
      <c r="D32" s="9"/>
    </row>
  </sheetData>
  <dataValidations count="1">
    <dataValidation type="list" allowBlank="1" sqref="D3:D32">
      <formula1>"Sim,Em parte,Não"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Como preencher</vt:lpstr>
      <vt:lpstr>Perguntas e respostas</vt:lpstr>
      <vt:lpstr>Sem resposta</vt:lpstr>
      <vt:lpstr>Pontos a confirmar</vt:lpstr>
      <vt:lpstr>Perguntas novas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2026-09-25T17:48:20Z</dcterms:created>
  <dcterms:modified xsi:type="dcterms:W3CDTF">2026-09-25T21:01:32Z</dcterms:modified>
</cp:coreProperties>
</file>